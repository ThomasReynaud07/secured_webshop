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omas/Documents/GitHub/secured_webshop/"/>
    </mc:Choice>
  </mc:AlternateContent>
  <xr:revisionPtr revIDLastSave="0" documentId="13_ncr:1_{1AE00946-8EC6-4747-BF2C-F8C0A2D00846}" xr6:coauthVersionLast="47" xr6:coauthVersionMax="47" xr10:uidLastSave="{00000000-0000-0000-0000-000000000000}"/>
  <bookViews>
    <workbookView xWindow="0" yWindow="780" windowWidth="34200" windowHeight="2136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<sst xmlns="http://schemas.openxmlformats.org/spreadsheetml/2006/main" count="78" uniqueCount="52">
  <si>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</si>
  <si>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</si>
  <si>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</si>
  <si>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</si>
  <si>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</si>
  <si>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</si>
  <si>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</si>
  <si>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</si>
  <si>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</si>
  <si>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</si>
  <si>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</si>
  <si>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</si>
  <si>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</si>
  <si>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</si>
  <si>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</si>
  <si>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</si>
  <si>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</si>
  <si>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</si>
  <si>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</si>
  <si>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</si>
  <si>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</si>
  <si>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</si>
  <si>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</si>
  <si>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</si>
  <si>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</si>
  <si>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</si>
  <si>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</si>
  <si>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</si>
  <si>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</si>
  <si>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P_WebStore</t>
  </si>
  <si>
    <t>18.03.2026 au 29.05.2026</t>
  </si>
  <si>
    <t>Reynaud Thomas</t>
  </si>
  <si>
    <t>Test 1</t>
  </si>
  <si>
    <t>Mon docker ne marchait pas je n'ai donc pas commencer tt de suite le projet</t>
  </si>
  <si>
    <t>J'ai ajouté le register et on peut maintenant se connecter au site avec un post</t>
  </si>
  <si>
    <t>Le prof nous as montré comment signer nos commits et comment on pouvait commits a la place de quelqu'un d'autre</t>
  </si>
  <si>
    <t>J'ai continué le sel poivre et les requêtes car j'avais perdu une partie et je ne me souvenais pas bien du fonctionnement</t>
  </si>
  <si>
    <t>J'ai commencé l'implémentation du token JWT dans mon application mais je n'ai pas eu le temps de finir</t>
  </si>
  <si>
    <t xml:space="preserve">Malade </t>
  </si>
  <si>
    <t>J'ai terminé l'implémentation du token JWT dans mon application avec les rôle</t>
  </si>
  <si>
    <t>Ajout de la politique de MDP avec une barre de force de mdp au moment de créer un compte</t>
  </si>
  <si>
    <t>J'ai rajouté le HTTPS et j'ai mis une limite de mdp pour eviter les attaquent bruteForce</t>
  </si>
  <si>
    <t>J'ai rajouté la gestion d'erreur partout avec des messages qui donnent moins d'informations sur les vrais erreurs.</t>
  </si>
  <si>
    <t>J'air verifié si il manquait des choses dans mon webshop + j'ai commencé l'implémentation du blocage de compte après N tentatives</t>
  </si>
  <si>
    <t xml:space="preserve">J'ai commencé le rapport du projet </t>
  </si>
  <si>
    <t>J'ai continué mon rapport car la fin du projet arrive plus vite que prévue</t>
  </si>
  <si>
    <t>J'ai fais les 80% de mon projet avec Mr.Sonney et il ne me manque que le rapport</t>
  </si>
  <si>
    <t>J'ai terminé l'implémentation l'implémentation du blocage de compte après N tentatives</t>
  </si>
  <si>
    <t>Révision pour le test 2 du module + Test</t>
  </si>
  <si>
    <t>J'ai continué mon rapport comme demandé par Mr.Sonney</t>
  </si>
  <si>
    <t>J'ai remis de l'ordre dans mon JDT</t>
  </si>
  <si>
    <t>J'ai terminö mon rapport de projet.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</si>
</sst>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250</c:v>
                </c:pt>
                <c:pt idx="1">
                  <c:v>500</c:v>
                </c:pt>
                <c:pt idx="2">
                  <c:v>220</c:v>
                </c:pt>
                <c:pt idx="3">
                  <c:v>560</c:v>
                </c:pt>
                <c:pt idx="4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0.5</c:v>
                </c:pt>
                <c:pt idx="2">
                  <c:v>0.1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4-1D44-BA94-80D9B5CA27D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0.5</c:v>
                </c:pt>
                <c:pt idx="2">
                  <c:v>0.1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4-1D44-BA94-80D9B5CA27D4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0.14245014245014245</c:v>
                </c:pt>
                <c:pt idx="1">
                  <c:v>0.28490028490028491</c:v>
                </c:pt>
                <c:pt idx="2">
                  <c:v>0.12535612535612536</c:v>
                </c:pt>
                <c:pt idx="3">
                  <c:v>0.31908831908831908</c:v>
                </c:pt>
                <c:pt idx="4">
                  <c:v>0.12820512820512819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115" zoomScaleNormal="115" workbookViewId="0">
      <pane ySplit="6" topLeftCell="A7" activePane="bottomLeft" state="frozen"/>
      <selection pane="bottomLeft" activeCell="F7" sqref="F7"/>
    </sheetView>
  </sheetViews>
  <sheetFormatPr baseColWidth="10" defaultColWidth="11" defaultRowHeight="16" x14ac:dyDescent="0.2"/>
  <cols>
    <col min="1" max="1" width="14.5" style="7" bestFit="1" customWidth="1"/>
    <col min="2" max="2" width="11.83203125" style="1" customWidth="1"/>
    <col min="3" max="3" width="12.1640625" style="2" bestFit="1" customWidth="1"/>
    <col min="4" max="4" width="10.5" style="2" bestFit="1" customWidth="1"/>
    <col min="5" max="5" width="14.1640625" bestFit="1" customWidth="1"/>
    <col min="6" max="6" width="83.5" customWidth="1"/>
    <col min="7" max="7" width="72.1640625" customWidth="1"/>
    <col min="10" max="10" width="7.1640625" bestFit="1" customWidth="1"/>
    <col min="11" max="11" width="13.83203125" bestFit="1" customWidth="1"/>
    <col min="12" max="12" width="4.1640625" bestFit="1" customWidth="1"/>
    <col min="13" max="13" width="14.33203125" hidden="1" customWidth="1"/>
    <col min="14" max="14" width="4.6640625" hidden="1" customWidth="1"/>
    <col min="15" max="15" width="7.6640625" hidden="1" customWidth="1"/>
  </cols>
  <sheetData>
    <row r="1" spans="1:15" ht="24" x14ac:dyDescent="0.3">
      <c r="A1" s="8"/>
      <c r="B1" s="9"/>
      <c r="C1" s="10"/>
      <c r="D1" s="10"/>
      <c r="E1" s="11"/>
      <c r="F1" s="12" t="s">
        <v>27</v>
      </c>
      <c r="G1" s="11"/>
    </row>
    <row r="2" spans="1:15" ht="24" x14ac:dyDescent="0.3">
      <c r="A2" s="86" t="s">
        <v>0</v>
      </c>
      <c r="B2" s="86"/>
      <c r="C2" s="84" t="s">
        <v>31</v>
      </c>
      <c r="D2" s="84"/>
      <c r="E2" s="84"/>
      <c r="F2" s="5" t="s">
        <v>1</v>
      </c>
      <c r="G2" s="64" t="s">
        <v>29</v>
      </c>
    </row>
    <row r="3" spans="1:15" ht="24" x14ac:dyDescent="0.3">
      <c r="A3" s="86" t="s">
        <v>5</v>
      </c>
      <c r="B3" s="86"/>
      <c r="C3" s="67" t="str">
        <f>QUOTIENT(E4,60)&amp;" heures "&amp;MOD(E4,60)&amp;" minutes"</f>
        <v>29 heures 15 minutes</v>
      </c>
      <c r="D3" s="17"/>
      <c r="E3" s="3"/>
      <c r="F3" s="4" t="s">
        <v>6</v>
      </c>
      <c r="G3" s="65" t="s">
        <v>30</v>
      </c>
    </row>
    <row r="4" spans="1:15" ht="24" hidden="1" x14ac:dyDescent="0.3">
      <c r="B4" s="5"/>
      <c r="C4" s="17">
        <f>SUBTOTAL(9,$C$7:$C$531)*60</f>
        <v>1200</v>
      </c>
      <c r="D4" s="17">
        <f>SUBTOTAL(9,$D$7:$D$531)</f>
        <v>555</v>
      </c>
      <c r="E4" s="24">
        <f>SUM(C4:D4)</f>
        <v>1755</v>
      </c>
      <c r="F4" s="4"/>
      <c r="G4" s="6"/>
    </row>
    <row r="5" spans="1:15" x14ac:dyDescent="0.2">
      <c r="C5" s="85" t="s">
        <v>14</v>
      </c>
      <c r="D5" s="85"/>
    </row>
    <row r="6" spans="1:15" s="15" customFormat="1" ht="20" customHeight="1" x14ac:dyDescent="0.25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ht="17" x14ac:dyDescent="0.2">
      <c r="A7" s="61">
        <f>IF(ISBLANK(B7),"",_xlfn.ISOWEEKNUM('Journal de travail'!$B7))</f>
        <v>13</v>
      </c>
      <c r="B7" s="26">
        <v>46106</v>
      </c>
      <c r="C7" s="27">
        <v>1</v>
      </c>
      <c r="D7" s="28">
        <v>30</v>
      </c>
      <c r="E7" s="29" t="s">
        <v>3</v>
      </c>
      <c r="F7" s="23" t="s">
        <v>32</v>
      </c>
      <c r="G7" s="38"/>
    </row>
    <row r="8" spans="1:15" ht="17" x14ac:dyDescent="0.2">
      <c r="A8" s="62" t="str">
        <f>IF(ISBLANK(B8),"",_xlfn.ISOWEEKNUM('Journal de travail'!$B8))</f>
        <v/>
      </c>
      <c r="B8" s="30"/>
      <c r="C8" s="31">
        <v>1</v>
      </c>
      <c r="D8" s="32">
        <v>25</v>
      </c>
      <c r="E8" s="33" t="s">
        <v>2</v>
      </c>
      <c r="F8" s="23" t="s">
        <v>33</v>
      </c>
      <c r="G8" s="39"/>
      <c r="M8" t="s">
        <v>2</v>
      </c>
      <c r="N8">
        <v>1</v>
      </c>
      <c r="O8">
        <v>0</v>
      </c>
    </row>
    <row r="9" spans="1:15" ht="17" x14ac:dyDescent="0.2">
      <c r="A9" s="63" t="str">
        <f>IF(ISBLANK(B9),"",_xlfn.ISOWEEKNUM('Journal de travail'!$B9))</f>
        <v/>
      </c>
      <c r="B9" s="34"/>
      <c r="C9" s="35"/>
      <c r="D9" s="36">
        <v>50</v>
      </c>
      <c r="E9" s="37" t="s">
        <v>19</v>
      </c>
      <c r="F9" s="23" t="s">
        <v>34</v>
      </c>
      <c r="G9" s="40"/>
      <c r="M9" t="s">
        <v>19</v>
      </c>
      <c r="N9">
        <v>2</v>
      </c>
      <c r="O9">
        <v>5</v>
      </c>
    </row>
    <row r="10" spans="1:15" ht="34" x14ac:dyDescent="0.2">
      <c r="A10" s="62">
        <f>IF(ISBLANK(B10),"",_xlfn.ISOWEEKNUM('Journal de travail'!$B10))</f>
        <v>14</v>
      </c>
      <c r="B10" s="30">
        <v>46113</v>
      </c>
      <c r="C10" s="31">
        <v>1</v>
      </c>
      <c r="D10" s="32">
        <v>10</v>
      </c>
      <c r="E10" s="33" t="s">
        <v>2</v>
      </c>
      <c r="F10" s="23" t="s">
        <v>35</v>
      </c>
      <c r="G10" s="39"/>
      <c r="M10" t="s">
        <v>3</v>
      </c>
      <c r="N10">
        <v>3</v>
      </c>
      <c r="O10">
        <v>10</v>
      </c>
    </row>
    <row r="11" spans="1:15" ht="34" x14ac:dyDescent="0.2">
      <c r="A11" s="63" t="str">
        <f>IF(ISBLANK(B11),"",_xlfn.ISOWEEKNUM('Journal de travail'!$B11))</f>
        <v/>
      </c>
      <c r="B11" s="34"/>
      <c r="C11" s="35">
        <v>1</v>
      </c>
      <c r="D11" s="36">
        <v>45</v>
      </c>
      <c r="E11" s="37" t="s">
        <v>19</v>
      </c>
      <c r="F11" s="23" t="s">
        <v>36</v>
      </c>
      <c r="G11" s="40"/>
      <c r="M11" t="s">
        <v>4</v>
      </c>
      <c r="N11">
        <v>4</v>
      </c>
      <c r="O11">
        <v>15</v>
      </c>
    </row>
    <row r="12" spans="1:15" ht="34" x14ac:dyDescent="0.2">
      <c r="A12" s="62" t="str">
        <f>IF(ISBLANK(B12),"",_xlfn.ISOWEEKNUM('Journal de travail'!$B12))</f>
        <v/>
      </c>
      <c r="B12" s="30"/>
      <c r="C12" s="31"/>
      <c r="D12" s="32">
        <v>50</v>
      </c>
      <c r="E12" s="33" t="s">
        <v>19</v>
      </c>
      <c r="F12" s="23" t="s">
        <v>37</v>
      </c>
      <c r="G12" s="39"/>
      <c r="M12" t="s">
        <v>28</v>
      </c>
      <c r="N12">
        <v>5</v>
      </c>
      <c r="O12">
        <v>20</v>
      </c>
    </row>
    <row r="13" spans="1:15" ht="17" x14ac:dyDescent="0.2">
      <c r="A13" s="63">
        <f>IF(ISBLANK(B13),"",_xlfn.ISOWEEKNUM('Journal de travail'!$B13))</f>
        <v>17</v>
      </c>
      <c r="B13" s="34">
        <v>46134</v>
      </c>
      <c r="C13" s="35">
        <v>3</v>
      </c>
      <c r="D13" s="36">
        <v>45</v>
      </c>
      <c r="E13" s="37" t="s">
        <v>28</v>
      </c>
      <c r="F13" s="23" t="s">
        <v>38</v>
      </c>
      <c r="G13" s="40"/>
      <c r="N13">
        <v>6</v>
      </c>
      <c r="O13">
        <v>25</v>
      </c>
    </row>
    <row r="14" spans="1:15" ht="17" x14ac:dyDescent="0.2">
      <c r="A14" s="62">
        <f>IF(ISBLANK(B14),"",_xlfn.ISOWEEKNUM('Journal de travail'!$B14))</f>
        <v>18</v>
      </c>
      <c r="B14" s="30">
        <v>46141</v>
      </c>
      <c r="C14" s="31">
        <v>1</v>
      </c>
      <c r="D14" s="32">
        <v>10</v>
      </c>
      <c r="E14" s="33" t="s">
        <v>19</v>
      </c>
      <c r="F14" s="23" t="s">
        <v>39</v>
      </c>
      <c r="G14" s="39"/>
      <c r="N14">
        <v>7</v>
      </c>
      <c r="O14">
        <v>30</v>
      </c>
    </row>
    <row r="15" spans="1:15" ht="17" x14ac:dyDescent="0.2">
      <c r="A15" s="63" t="str">
        <f>IF(ISBLANK(B15),"",_xlfn.ISOWEEKNUM('Journal de travail'!$B15))</f>
        <v/>
      </c>
      <c r="B15" s="34"/>
      <c r="C15" s="35"/>
      <c r="D15" s="36">
        <v>50</v>
      </c>
      <c r="E15" s="37" t="s">
        <v>19</v>
      </c>
      <c r="F15" s="23" t="s">
        <v>40</v>
      </c>
      <c r="G15" s="40"/>
      <c r="N15">
        <v>8</v>
      </c>
      <c r="O15">
        <v>35</v>
      </c>
    </row>
    <row r="16" spans="1:15" ht="17" x14ac:dyDescent="0.2">
      <c r="A16" s="62" t="str">
        <f>IF(ISBLANK(B16),"",_xlfn.ISOWEEKNUM('Journal de travail'!$B16))</f>
        <v/>
      </c>
      <c r="B16" s="30"/>
      <c r="C16" s="31">
        <v>1</v>
      </c>
      <c r="D16" s="32"/>
      <c r="E16" s="33" t="s">
        <v>19</v>
      </c>
      <c r="F16" s="23" t="s">
        <v>41</v>
      </c>
      <c r="G16" s="39"/>
      <c r="O16">
        <v>40</v>
      </c>
    </row>
    <row r="17" spans="1:15" ht="34" x14ac:dyDescent="0.2">
      <c r="A17" s="63" t="str">
        <f>IF(ISBLANK(B17),"",_xlfn.ISOWEEKNUM('Journal de travail'!$B17))</f>
        <v/>
      </c>
      <c r="B17" s="34"/>
      <c r="C17" s="35"/>
      <c r="D17" s="36">
        <v>45</v>
      </c>
      <c r="E17" s="37" t="s">
        <v>19</v>
      </c>
      <c r="F17" s="23" t="s">
        <v>42</v>
      </c>
      <c r="G17" s="40"/>
      <c r="O17">
        <v>45</v>
      </c>
    </row>
    <row r="18" spans="1:15" ht="34" x14ac:dyDescent="0.2">
      <c r="A18" s="62">
        <f>IF(ISBLANK(B18),"",_xlfn.ISOWEEKNUM('Journal de travail'!$B18))</f>
        <v>19</v>
      </c>
      <c r="B18" s="30">
        <v>46148</v>
      </c>
      <c r="C18" s="31">
        <v>1</v>
      </c>
      <c r="D18" s="32">
        <v>15</v>
      </c>
      <c r="E18" s="33" t="s">
        <v>2</v>
      </c>
      <c r="F18" s="23" t="s">
        <v>43</v>
      </c>
      <c r="G18" s="39"/>
      <c r="O18">
        <v>50</v>
      </c>
    </row>
    <row r="19" spans="1:15" ht="17" x14ac:dyDescent="0.2">
      <c r="A19" s="63" t="str">
        <f>IF(ISBLANK(B19),"",_xlfn.ISOWEEKNUM('Journal de travail'!$B19))</f>
        <v/>
      </c>
      <c r="B19" s="34"/>
      <c r="C19" s="35">
        <v>2</v>
      </c>
      <c r="D19" s="36">
        <v>30</v>
      </c>
      <c r="E19" s="37" t="s">
        <v>4</v>
      </c>
      <c r="F19" s="23" t="s">
        <v>44</v>
      </c>
      <c r="G19" s="40"/>
      <c r="O19">
        <v>55</v>
      </c>
    </row>
    <row r="20" spans="1:15" ht="17" x14ac:dyDescent="0.2">
      <c r="A20" s="62">
        <f>IF(ISBLANK(B20),"",_xlfn.ISOWEEKNUM('Journal de travail'!$B20))</f>
        <v>20</v>
      </c>
      <c r="B20" s="30">
        <v>46155</v>
      </c>
      <c r="C20" s="31">
        <v>2</v>
      </c>
      <c r="D20" s="32">
        <v>15</v>
      </c>
      <c r="E20" s="33" t="s">
        <v>4</v>
      </c>
      <c r="F20" s="23" t="s">
        <v>45</v>
      </c>
      <c r="G20" s="39"/>
    </row>
    <row r="21" spans="1:15" ht="17" x14ac:dyDescent="0.2">
      <c r="A21" s="63" t="str">
        <f>IF(ISBLANK(B21),"",_xlfn.ISOWEEKNUM('Journal de travail'!$B21))</f>
        <v/>
      </c>
      <c r="B21" s="34"/>
      <c r="C21" s="35"/>
      <c r="D21" s="36">
        <v>20</v>
      </c>
      <c r="E21" s="37" t="s">
        <v>2</v>
      </c>
      <c r="F21" s="23" t="s">
        <v>46</v>
      </c>
      <c r="G21" s="40"/>
    </row>
    <row r="22" spans="1:15" ht="17" x14ac:dyDescent="0.2">
      <c r="A22" s="62" t="str">
        <f>IF(ISBLANK(B22),"",_xlfn.ISOWEEKNUM('Journal de travail'!$B22))</f>
        <v/>
      </c>
      <c r="B22" s="30"/>
      <c r="C22" s="31">
        <v>1</v>
      </c>
      <c r="D22" s="32">
        <v>10</v>
      </c>
      <c r="E22" s="33" t="s">
        <v>19</v>
      </c>
      <c r="F22" s="23" t="s">
        <v>47</v>
      </c>
      <c r="G22" s="39"/>
    </row>
    <row r="23" spans="1:15" ht="17" x14ac:dyDescent="0.2">
      <c r="A23" s="63">
        <f>IF(ISBLANK(B23),"",_xlfn.ISOWEEKNUM('Journal de travail'!$B23))</f>
        <v>21</v>
      </c>
      <c r="B23" s="34">
        <v>46162</v>
      </c>
      <c r="C23" s="35">
        <v>2</v>
      </c>
      <c r="D23" s="36">
        <v>10</v>
      </c>
      <c r="E23" s="37" t="s">
        <v>3</v>
      </c>
      <c r="F23" s="23" t="s">
        <v>48</v>
      </c>
      <c r="G23" s="40"/>
    </row>
    <row r="24" spans="1:15" ht="17" x14ac:dyDescent="0.2">
      <c r="A24" s="62" t="str">
        <f>IF(ISBLANK(B24),"",_xlfn.ISOWEEKNUM('Journal de travail'!$B24))</f>
        <v/>
      </c>
      <c r="B24" s="30"/>
      <c r="C24" s="31">
        <v>1</v>
      </c>
      <c r="D24" s="32">
        <v>35</v>
      </c>
      <c r="E24" s="33" t="s">
        <v>4</v>
      </c>
      <c r="F24" s="23" t="s">
        <v>49</v>
      </c>
      <c r="G24" s="39"/>
    </row>
    <row r="25" spans="1:15" ht="17" x14ac:dyDescent="0.2">
      <c r="A25" s="63">
        <f>IF(ISBLANK(B25),"",_xlfn.ISOWEEKNUM('Journal de travail'!$B25))</f>
        <v>22</v>
      </c>
      <c r="B25" s="34">
        <v>46169</v>
      </c>
      <c r="C25" s="35"/>
      <c r="D25" s="36">
        <v>35</v>
      </c>
      <c r="E25" s="37" t="s">
        <v>4</v>
      </c>
      <c r="F25" s="23" t="s">
        <v>50</v>
      </c>
      <c r="G25" s="40"/>
    </row>
    <row r="26" spans="1:15" ht="17" x14ac:dyDescent="0.2">
      <c r="A26" s="62" t="str">
        <f>IF(ISBLANK(B26),"",_xlfn.ISOWEEKNUM('Journal de travail'!$B26))</f>
        <v/>
      </c>
      <c r="B26" s="30"/>
      <c r="C26" s="31">
        <v>2</v>
      </c>
      <c r="D26" s="32">
        <v>25</v>
      </c>
      <c r="E26" s="33" t="s">
        <v>4</v>
      </c>
      <c r="F26" s="23" t="s">
        <v>51</v>
      </c>
      <c r="G26" s="39"/>
    </row>
    <row r="27" spans="1:15" x14ac:dyDescent="0.2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4" workbookViewId="0">
      <selection activeCell="P8" sqref="P8"/>
    </sheetView>
  </sheetViews>
  <sheetFormatPr baseColWidth="10" defaultRowHeight="19" x14ac:dyDescent="0.25"/>
  <cols>
    <col min="1" max="3" width="10.83203125" hidden="1" customWidth="1"/>
    <col min="4" max="4" width="10.8320312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3203125" bestFit="1" customWidth="1"/>
    <col min="14" max="14" width="9.33203125" bestFit="1" customWidth="1"/>
  </cols>
  <sheetData>
    <row r="2" spans="1:14" ht="21" x14ac:dyDescent="0.25">
      <c r="E2" s="66" t="s">
        <v>24</v>
      </c>
      <c r="F2" s="68">
        <v>88</v>
      </c>
      <c r="G2" s="66" t="s">
        <v>23</v>
      </c>
      <c r="L2" s="18"/>
      <c r="M2" s="44"/>
      <c r="N2" s="18"/>
    </row>
    <row r="3" spans="1:14" x14ac:dyDescent="0.25">
      <c r="L3" s="19"/>
      <c r="M3" s="20"/>
      <c r="N3" s="19"/>
    </row>
    <row r="4" spans="1:14" ht="21" x14ac:dyDescent="0.25">
      <c r="E4" s="66" t="s">
        <v>25</v>
      </c>
      <c r="L4" s="66" t="s">
        <v>21</v>
      </c>
      <c r="M4" s="41"/>
      <c r="N4" s="19"/>
    </row>
    <row r="5" spans="1:14" x14ac:dyDescent="0.25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25">
      <c r="A6">
        <f>SUMIF('Journal de travail'!$E$7:$E$532,Plannification!E6,'Journal de travail'!$C$7:$C$532)*60</f>
        <v>180</v>
      </c>
      <c r="B6">
        <f>SUMIF('Journal de travail'!$E$7:$E$532,Plannification!E6,'Journal de travail'!$D$7:$D$532)</f>
        <v>70</v>
      </c>
      <c r="C6">
        <f t="shared" ref="C6:C10" si="0">SUM(A6:B6)</f>
        <v>250</v>
      </c>
      <c r="E6" s="70" t="str">
        <f>'Journal de travail'!M8</f>
        <v>Analyse</v>
      </c>
      <c r="F6" s="71" t="str">
        <f>QUOTIENT(SUM(A6:B6),60)&amp;" h "&amp;TEXT(MOD(SUM(A6:B6),60), "00")&amp;" min"</f>
        <v>4 h 10 min</v>
      </c>
      <c r="G6" s="72">
        <f>SUM(A6:B6)/$C$11</f>
        <v>0.14245014245014245</v>
      </c>
      <c r="L6" s="51" t="str">
        <f>'Journal de travail'!M8</f>
        <v>Analyse</v>
      </c>
      <c r="M6" s="52" t="str">
        <f>INT($F$2*N6)&amp;" h "&amp;TEXT(ROUND(MOD($F$2*N6,1)*60,0),"00")&amp;" m"</f>
        <v>17 h 36 m</v>
      </c>
      <c r="N6" s="58">
        <v>0.2</v>
      </c>
    </row>
    <row r="7" spans="1:14" x14ac:dyDescent="0.25">
      <c r="A7">
        <f>SUMIF('Journal de travail'!$E$7:$E$532,Plannification!E7,'Journal de travail'!$C$7:$C$532)*60</f>
        <v>240</v>
      </c>
      <c r="B7">
        <f>SUMIF('Journal de travail'!$E$7:$E$532,Plannification!E7,'Journal de travail'!$D$7:$D$532)</f>
        <v>260</v>
      </c>
      <c r="C7">
        <f t="shared" si="0"/>
        <v>500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8 h 20 min</v>
      </c>
      <c r="G7" s="75">
        <f t="shared" ref="G7:G9" si="2">SUM(A7:B7)/$C$11</f>
        <v>0.28490028490028491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44 h 00 m</v>
      </c>
      <c r="N7" s="59">
        <v>0.5</v>
      </c>
    </row>
    <row r="8" spans="1:14" x14ac:dyDescent="0.25">
      <c r="A8">
        <f>SUMIF('Journal de travail'!$E$7:$E$532,Plannification!E8,'Journal de travail'!$C$7:$C$532)*60</f>
        <v>180</v>
      </c>
      <c r="B8">
        <f>SUMIF('Journal de travail'!$E$7:$E$532,Plannification!E8,'Journal de travail'!$D$7:$D$532)</f>
        <v>40</v>
      </c>
      <c r="C8">
        <f t="shared" si="0"/>
        <v>220</v>
      </c>
      <c r="E8" s="76" t="str">
        <f>'Journal de travail'!M10</f>
        <v>Test</v>
      </c>
      <c r="F8" s="71" t="str">
        <f t="shared" si="1"/>
        <v>3 h 40 min</v>
      </c>
      <c r="G8" s="72">
        <f t="shared" si="2"/>
        <v>0.12535612535612536</v>
      </c>
      <c r="L8" s="54" t="str">
        <f>'Journal de travail'!M10</f>
        <v>Test</v>
      </c>
      <c r="M8" s="52" t="str">
        <f t="shared" si="3"/>
        <v>8 h 48 m</v>
      </c>
      <c r="N8" s="58">
        <v>0.1</v>
      </c>
    </row>
    <row r="9" spans="1:14" x14ac:dyDescent="0.25">
      <c r="A9">
        <f>SUMIF('Journal de travail'!$E$7:$E$532,Plannification!E9,'Journal de travail'!$C$7:$C$532)*60</f>
        <v>420</v>
      </c>
      <c r="B9">
        <f>SUMIF('Journal de travail'!$E$7:$E$532,Plannification!E9,'Journal de travail'!$D$7:$D$532)</f>
        <v>140</v>
      </c>
      <c r="C9">
        <f t="shared" si="0"/>
        <v>560</v>
      </c>
      <c r="E9" s="77" t="str">
        <f>'Journal de travail'!M11</f>
        <v>Documentation</v>
      </c>
      <c r="F9" s="74" t="str">
        <f t="shared" si="1"/>
        <v>9 h 20 min</v>
      </c>
      <c r="G9" s="75">
        <f t="shared" si="2"/>
        <v>0.31908831908831908</v>
      </c>
      <c r="L9" s="55" t="str">
        <f>'Journal de travail'!M11</f>
        <v>Documentation</v>
      </c>
      <c r="M9" s="52" t="str">
        <f t="shared" si="3"/>
        <v>17 h 36 m</v>
      </c>
      <c r="N9" s="59">
        <v>0.2</v>
      </c>
    </row>
    <row r="10" spans="1:14" x14ac:dyDescent="0.25">
      <c r="A10">
        <f>SUMIF('Journal de travail'!$E$7:$E$532,Plannification!E10,'Journal de travail'!$C$7:$C$532)*60</f>
        <v>180</v>
      </c>
      <c r="B10">
        <f>SUMIF('Journal de travail'!$E$7:$E$532,Plannification!E10,'Journal de travail'!$D$7:$D$532)</f>
        <v>45</v>
      </c>
      <c r="C10">
        <f t="shared" si="0"/>
        <v>225</v>
      </c>
      <c r="E10" s="78" t="s">
        <v>28</v>
      </c>
      <c r="F10" s="79" t="str">
        <f t="shared" ref="F10" si="4">QUOTIENT(SUM(A10:B10),60)&amp;" h "&amp;TEXT(MOD(SUM(A10:B10),60), "00")&amp;" min"</f>
        <v>3 h 45 min</v>
      </c>
      <c r="G10" s="80">
        <f>SUM(A10:B10)/$C$11</f>
        <v>0.12820512820512819</v>
      </c>
      <c r="L10" s="69" t="s">
        <v>28</v>
      </c>
      <c r="M10" s="52" t="str">
        <f t="shared" si="3"/>
        <v>0 h 00 m</v>
      </c>
      <c r="N10" s="83">
        <v>0</v>
      </c>
    </row>
    <row r="11" spans="1:14" x14ac:dyDescent="0.25">
      <c r="A11">
        <f>SUM(A6:A10)</f>
        <v>1200</v>
      </c>
      <c r="B11">
        <f>SUM(B6:B10)</f>
        <v>555</v>
      </c>
      <c r="C11">
        <f>SUM(A11:B11)</f>
        <v>1755</v>
      </c>
      <c r="E11" s="81" t="s">
        <v>18</v>
      </c>
      <c r="F11" s="71" t="str">
        <f t="shared" si="1"/>
        <v>29 h 15 min</v>
      </c>
      <c r="G11" s="82">
        <f>C11/C12</f>
        <v>0.33238636363636365</v>
      </c>
      <c r="L11" s="56" t="s">
        <v>18</v>
      </c>
      <c r="M11" s="57"/>
      <c r="N11" s="60">
        <f>SUM(N6:N10)</f>
        <v>1</v>
      </c>
    </row>
    <row r="12" spans="1:14" x14ac:dyDescent="0.25">
      <c r="C12">
        <f>F2*60</f>
        <v>5280</v>
      </c>
    </row>
    <row r="13" spans="1:14" x14ac:dyDescent="0.25">
      <c r="F13" s="43"/>
    </row>
  </sheetData>
  <sheetProtection algorithmName="SHA-512" hashValue="5aGPoTqGmkyjsdpSMN178N1WBFC1VMTKFkm66m+6Yog7xX7DUJiACAUjm3QdOBaqrz5f2f7Cd0Udr+YLoex+Rw==" saltValue="y9meuOEPmAMrI+vrG0x/l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RowHeight="16" x14ac:dyDescent="0.2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2fafb7-d8e0-4a14-bee3-33aad5c71309" xsi:nil="true"/>
    <lcf76f155ced4ddcb4097134ff3c332f xmlns="f20a0681-8b2f-4a46-9dab-cf1520193f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5bf905bc6027d3a3176cf398b6d748a7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cdc8923a5f0a5cb2ad217e59a32ed26c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325519-8edb-4b5c-9516-304f082e19e7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932fafb7-d8e0-4a14-bee3-33aad5c71309"/>
    <ds:schemaRef ds:uri="f20a0681-8b2f-4a46-9dab-cf1520193f81"/>
  </ds:schemaRefs>
</ds:datastoreItem>
</file>

<file path=customXml/itemProps3.xml><?xml version="1.0" encoding="utf-8"?>
<ds:datastoreItem xmlns:ds="http://schemas.openxmlformats.org/officeDocument/2006/customXml" ds:itemID="{9A3D7732-FAC4-4A7B-91A1-7802C85014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Thomas Reynaud</cp:lastModifiedBy>
  <cp:revision/>
  <dcterms:created xsi:type="dcterms:W3CDTF">2023-11-21T20:00:34Z</dcterms:created>
  <dcterms:modified xsi:type="dcterms:W3CDTF">2026-05-27T09:21:51Z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